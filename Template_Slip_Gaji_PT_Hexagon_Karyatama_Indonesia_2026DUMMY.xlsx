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B8263FBD-07BF-41E1-A71A-5F870CCC2F36}" xr6:coauthVersionLast="47" xr6:coauthVersionMax="47" xr10:uidLastSave="{00000000-0000-0000-0000-000000000000}"/>
  <bookViews>
    <workbookView xWindow="-108" yWindow="-108" windowWidth="23256" windowHeight="12456" activeTab="1" xr2:uid="{00000000-000D-0000-FFFF-FFFF00000000}"/>
  </bookViews>
  <sheets>
    <sheet name="Slip Gaji" sheetId="1" r:id="rId1"/>
    <sheet name="Ketentuan"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1" i="1" l="1"/>
  <c r="D19" i="1"/>
  <c r="H15" i="1"/>
  <c r="D15" i="1"/>
  <c r="D30" i="1"/>
  <c r="D28" i="1"/>
  <c r="D27" i="1"/>
  <c r="D26" i="1"/>
  <c r="D25" i="1"/>
  <c r="H18" i="1"/>
  <c r="H17" i="1"/>
  <c r="D17" i="1"/>
  <c r="H16" i="1"/>
  <c r="D16" i="1"/>
  <c r="D14" i="1"/>
  <c r="G11" i="1"/>
  <c r="C11" i="1"/>
  <c r="G10" i="1"/>
  <c r="C10" i="1"/>
  <c r="G9" i="1"/>
  <c r="C9" i="1"/>
  <c r="G8" i="1"/>
  <c r="C8" i="1"/>
  <c r="G7" i="1"/>
  <c r="C7" i="1"/>
  <c r="D18" i="1" l="1"/>
  <c r="H14" i="1"/>
  <c r="G21" i="1" l="1"/>
  <c r="H19" i="1"/>
</calcChain>
</file>

<file path=xl/sharedStrings.xml><?xml version="1.0" encoding="utf-8"?>
<sst xmlns="http://schemas.openxmlformats.org/spreadsheetml/2006/main" count="102" uniqueCount="83">
  <si>
    <t>PT HEXAGON KARYATAMA INDONESIA</t>
  </si>
  <si>
    <t>SLIP GAJI KARYAWAN</t>
  </si>
  <si>
    <t>Dokumen Rahasia dan Bersifat Pribadi</t>
  </si>
  <si>
    <t>Pilih No. Karyawan</t>
  </si>
  <si>
    <t>ID Karyawan</t>
  </si>
  <si>
    <t>Tanggal Upah Tetap</t>
  </si>
  <si>
    <t>Nama Karyawan</t>
  </si>
  <si>
    <t>Tanggal Insentif KPI</t>
  </si>
  <si>
    <t>Jabatan</t>
  </si>
  <si>
    <t>Tanggal Lembur/Reimburse</t>
  </si>
  <si>
    <t>Periode Payroll</t>
  </si>
  <si>
    <t>Cut-off Lembur</t>
  </si>
  <si>
    <t>Status KPI</t>
  </si>
  <si>
    <t>Laporan Finance</t>
  </si>
  <si>
    <t>PENGHASILAN DAN PENGGANTIAN BIAYA</t>
  </si>
  <si>
    <t>POTONGAN KARYAWAN</t>
  </si>
  <si>
    <t>Upah Tetap</t>
  </si>
  <si>
    <t>JHT Karyawan</t>
  </si>
  <si>
    <t>Insentif KPI</t>
  </si>
  <si>
    <t>JP Karyawan</t>
  </si>
  <si>
    <t>Lembur</t>
  </si>
  <si>
    <t>BPJS Kesehatan Karyawan</t>
  </si>
  <si>
    <t>Reimbursement</t>
  </si>
  <si>
    <t>PPh 21</t>
  </si>
  <si>
    <t>Pendapatan Bruto</t>
  </si>
  <si>
    <t>Potongan Lain Sah</t>
  </si>
  <si>
    <t>Total Dana Masuk</t>
  </si>
  <si>
    <t>Total Potongan</t>
  </si>
  <si>
    <t>BERSIH DITERIMA KARYAWAN</t>
  </si>
  <si>
    <t>KONTRIBUSI PERUSAHAAN (TIDAK MENGURANGI GAJI KARYAWAN)</t>
  </si>
  <si>
    <t>JHT Perusahaan</t>
  </si>
  <si>
    <t>JKK Perusahaan</t>
  </si>
  <si>
    <t>JKM Perusahaan</t>
  </si>
  <si>
    <t>JP Perusahaan (C-Level)</t>
  </si>
  <si>
    <t>JKP</t>
  </si>
  <si>
    <t>BPJS Kesehatan Perusahaan</t>
  </si>
  <si>
    <t>Total Beban Perusahaan</t>
  </si>
  <si>
    <t>Keterangan: Upah Tetap terdiri dari Gaji Pokok dan Porsi KPI dalam Gaji Pokok serta tidak dikurangi hanya karena KPI tidak tercapai. Insentif KPI merupakan komponen variabel dan dibayar penuh apabila capaian minimal 90%. Potongan hanya dapat dilakukan untuk BPJS bagian karyawan, pajak, ketidakhadiran yang sah, kewajiban berdasarkan aturan/putusan, atau persetujuan tertulis.</t>
  </si>
  <si>
    <t>Dibuat oleh,
Finance/HR</t>
  </si>
  <si>
    <t>Mengetahui,
Karyawan</t>
  </si>
  <si>
    <t>(________________________)</t>
  </si>
  <si>
    <t>KETENTUAN DAN PARAMETER SLIP GAJI</t>
  </si>
  <si>
    <t>PT Hexagon Karyatama Indonesia · Template Payroll 2026</t>
  </si>
  <si>
    <t>Parameter</t>
  </si>
  <si>
    <t>Nilai</t>
  </si>
  <si>
    <t>Penggunaan</t>
  </si>
  <si>
    <t>Keterangan</t>
  </si>
  <si>
    <t>Ambang KPI</t>
  </si>
  <si>
    <t>Insentif KPI dibayar penuh apabila capaian minimal 90%</t>
  </si>
  <si>
    <t>Potongan karyawan</t>
  </si>
  <si>
    <t>Dihitung dari Upah Tetap</t>
  </si>
  <si>
    <t>JP Karyawan C-Level</t>
  </si>
  <si>
    <t>Potongan CEO/COO</t>
  </si>
  <si>
    <t>Sesuai struktur internal terakhir</t>
  </si>
  <si>
    <t>Dasar iuran mengikuti batas minimum dan maksimum</t>
  </si>
  <si>
    <t>Beban perusahaan</t>
  </si>
  <si>
    <t>Asumsi tingkat risiko sangat rendah</t>
  </si>
  <si>
    <t>JP Perusahaan C-Level</t>
  </si>
  <si>
    <t>Beban CEO/COO</t>
  </si>
  <si>
    <t>Informasi</t>
  </si>
  <si>
    <t>Tidak menjadi tambahan iuran langsung pada template</t>
  </si>
  <si>
    <t>UMK Kota Cimahi 2026</t>
  </si>
  <si>
    <t>Batas minimum dasar BPJS Kesehatan</t>
  </si>
  <si>
    <t>Dapat diperbarui bila ketentuan berubah</t>
  </si>
  <si>
    <t>Ketentuan Pembayaran</t>
  </si>
  <si>
    <t>Waktu</t>
  </si>
  <si>
    <t>Status di Slip</t>
  </si>
  <si>
    <t>Penjelasan</t>
  </si>
  <si>
    <t>Tanggal 10 setiap bulan</t>
  </si>
  <si>
    <t>Penghasilan tetap</t>
  </si>
  <si>
    <t>Gaji Pokok + Porsi KPI dalam Gaji Pokok; tidak dikurangi karena KPI tidak tercapai</t>
  </si>
  <si>
    <t>Jumat minggu ke-3</t>
  </si>
  <si>
    <t>Penghasilan variabel</t>
  </si>
  <si>
    <t>Dibayar penuh jika capaian KPI minimal 90%</t>
  </si>
  <si>
    <t>Lembur dan reimbursement</t>
  </si>
  <si>
    <t>Tanggal 1</t>
  </si>
  <si>
    <t>Penghasilan/penggantian biaya</t>
  </si>
  <si>
    <t>Cut-off tanggal 25; laporan kepada Finance tanggal 27</t>
  </si>
  <si>
    <t>Slip gaji</t>
  </si>
  <si>
    <t>Setiap periode pembayaran</t>
  </si>
  <si>
    <t>Dokumen rincian</t>
  </si>
  <si>
    <t>Memuat penghasilan, potongan, BPJS, pajak, dan nilai bersih</t>
  </si>
  <si>
    <t>Catatan: tarif dan kepesertaan BPJS pada template ini dapat disesuaikan dengan tagihan resmi serta ketentuan yang berlaku bagi masing-masing karyawan.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</si>
</sst>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p&quot;\ #,##0;[Red]\(&quot;Rp&quot;\ #,##0\);\-"/>
    <numFmt numFmtId="166" formatCode="mmmm\ yyyy"/>
    <numFmt numFmtId="167" formatCode="dd\ mmmm\ yyyy"/>
  </numFmts>
  <fonts count="9">
    <font>
      <sz val="11"/>
      <name val="Carlito"/>
    </font>
    <font>
      <b/>
      <sz val="15"/>
      <color rgb="FFFFFFFF"/>
      <name val="Arial"/>
    </font>
    <font>
      <b/>
      <sz val="10"/>
      <color rgb="FF1F2937"/>
      <name val="Arial"/>
    </font>
    <font>
      <sz val="10"/>
      <color rgb="FF1F2937"/>
      <name val="Arial"/>
    </font>
    <font>
      <i/>
      <sz val="10"/>
      <color rgb="FF1F2937"/>
      <name val="Arial"/>
    </font>
    <font>
      <b/>
      <sz val="10"/>
      <color rgb="FFFFFFFF"/>
      <name val="Arial"/>
    </font>
    <font>
      <b/>
      <sz val="9"/>
      <color rgb="FFFFFFFF"/>
      <name val="Arial"/>
    </font>
    <font>
      <b/>
      <sz val="13"/>
      <color rgb="FFFFFFFF"/>
      <name val="Arial"/>
    </font>
    <font>
      <b/>
      <i/>
      <sz val="9"/>
      <color rgb="FFFFFFFF"/>
      <name val="Arial"/>
    </font>
  </fonts>
  <fills count="8">
    <fill>
      <patternFill patternType="none"/>
    </fill>
    <fill>
      <patternFill patternType="gray125"/>
    </fill>
    <fill>
      <patternFill patternType="solid">
        <fgColor rgb="FF173F6B"/>
      </patternFill>
    </fill>
    <fill>
      <patternFill patternType="solid">
        <fgColor rgb="FF2F75B5"/>
      </patternFill>
    </fill>
    <fill>
      <patternFill patternType="solid">
        <fgColor rgb="FFFFF2CC"/>
      </patternFill>
    </fill>
    <fill>
      <patternFill patternType="solid">
        <fgColor rgb="FFDCEAF7"/>
      </patternFill>
    </fill>
    <fill>
      <patternFill patternType="solid">
        <fgColor rgb="FFF3F7FB"/>
      </patternFill>
    </fill>
    <fill>
      <patternFill patternType="solid">
        <fgColor rgb="FF0F9D58"/>
      </patternFill>
    </fill>
  </fills>
  <borders count="5">
    <border>
      <left/>
      <right/>
      <top/>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0">
    <xf numFmtId="0" fontId="0" fillId="0" borderId="0" xfId="0"/>
    <xf numFmtId="0" fontId="3" fillId="0" borderId="0" xfId="0" applyFont="1"/>
    <xf numFmtId="0" fontId="5" fillId="3" borderId="0" xfId="0" applyFont="1" applyFill="1" applyAlignment="1">
      <alignment vertical="center"/>
    </xf>
    <xf numFmtId="0" fontId="3" fillId="0" borderId="1" xfId="0" applyFont="1" applyBorder="1" applyAlignment="1">
      <alignment vertical="center"/>
    </xf>
    <xf numFmtId="10" fontId="3" fillId="0" borderId="1" xfId="0" applyNumberFormat="1" applyFont="1" applyBorder="1" applyAlignment="1">
      <alignment vertical="center"/>
    </xf>
    <xf numFmtId="0" fontId="3" fillId="0" borderId="2" xfId="0" applyFont="1" applyBorder="1" applyAlignment="1">
      <alignment vertical="center"/>
    </xf>
    <xf numFmtId="10" fontId="3" fillId="0" borderId="2" xfId="0" applyNumberFormat="1" applyFont="1" applyBorder="1" applyAlignment="1">
      <alignment vertical="center"/>
    </xf>
    <xf numFmtId="0" fontId="3" fillId="0" borderId="3" xfId="0" applyFont="1" applyBorder="1" applyAlignment="1">
      <alignment vertical="center"/>
    </xf>
    <xf numFmtId="164" fontId="3" fillId="0" borderId="3" xfId="0" applyNumberFormat="1" applyFont="1" applyBorder="1" applyAlignment="1">
      <alignment vertical="center"/>
    </xf>
    <xf numFmtId="0" fontId="3" fillId="0" borderId="0" xfId="0" applyFont="1" applyAlignment="1">
      <alignment vertical="center"/>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0" xfId="0" applyFont="1" applyAlignment="1">
      <alignment vertical="center" wrapText="1"/>
    </xf>
    <xf numFmtId="0" fontId="5" fillId="3" borderId="0" xfId="0" applyFont="1" applyFill="1" applyAlignment="1">
      <alignment vertical="center" wrapText="1"/>
    </xf>
    <xf numFmtId="0" fontId="3" fillId="2" borderId="0" xfId="0" applyFont="1" applyFill="1"/>
    <xf numFmtId="0" fontId="2" fillId="0" borderId="0" xfId="0" applyFont="1"/>
    <xf numFmtId="0" fontId="2" fillId="4" borderId="0" xfId="0" applyFont="1" applyFill="1"/>
    <xf numFmtId="0" fontId="3" fillId="6" borderId="4" xfId="0" applyFont="1" applyFill="1" applyBorder="1"/>
    <xf numFmtId="164" fontId="3" fillId="0" borderId="4" xfId="0" applyNumberFormat="1" applyFont="1" applyBorder="1"/>
    <xf numFmtId="0" fontId="2" fillId="6" borderId="4" xfId="0" applyFont="1" applyFill="1" applyBorder="1"/>
    <xf numFmtId="164" fontId="2" fillId="0" borderId="4" xfId="0" applyNumberFormat="1" applyFont="1" applyBorder="1"/>
    <xf numFmtId="0" fontId="3" fillId="0" borderId="0" xfId="0" applyFont="1" applyAlignment="1">
      <alignment horizontal="center" vertical="center"/>
    </xf>
    <xf numFmtId="0" fontId="1" fillId="2" borderId="0" xfId="0" applyFont="1" applyFill="1" applyAlignment="1">
      <alignment horizontal="center" vertical="center"/>
    </xf>
    <xf numFmtId="0" fontId="5" fillId="2" borderId="0" xfId="0" applyFont="1" applyFill="1" applyAlignment="1">
      <alignment horizontal="center"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2" fillId="5" borderId="4" xfId="0" applyFont="1" applyFill="1" applyBorder="1"/>
    <xf numFmtId="0" fontId="3" fillId="0" borderId="4" xfId="0" applyFont="1" applyBorder="1"/>
    <xf numFmtId="166" fontId="3" fillId="0" borderId="4" xfId="0" applyNumberFormat="1" applyFont="1" applyBorder="1"/>
    <xf numFmtId="167" fontId="3" fillId="0" borderId="4" xfId="0" applyNumberFormat="1" applyFont="1" applyBorder="1"/>
    <xf numFmtId="0" fontId="5" fillId="3" borderId="0" xfId="0" applyFont="1" applyFill="1" applyAlignment="1">
      <alignment horizontal="center"/>
    </xf>
    <xf numFmtId="0" fontId="7" fillId="7" borderId="0" xfId="0" applyFont="1" applyFill="1" applyAlignment="1">
      <alignment horizontal="left" vertical="center"/>
    </xf>
    <xf numFmtId="164" fontId="7" fillId="7" borderId="0" xfId="0" applyNumberFormat="1" applyFont="1" applyFill="1" applyAlignment="1">
      <alignment horizontal="right" vertical="center"/>
    </xf>
    <xf numFmtId="0" fontId="6" fillId="2" borderId="0" xfId="0" applyFont="1" applyFill="1" applyAlignment="1">
      <alignment horizontal="center"/>
    </xf>
    <xf numFmtId="0" fontId="4" fillId="4" borderId="0" xfId="0" applyFont="1" applyFill="1" applyAlignment="1">
      <alignment vertical="center" wrapText="1"/>
    </xf>
    <xf numFmtId="0" fontId="3" fillId="0" borderId="0" xfId="0" applyFont="1" applyAlignment="1">
      <alignment horizontal="center" vertical="center"/>
    </xf>
    <xf numFmtId="0" fontId="1" fillId="2" borderId="0" xfId="0" applyFont="1" applyFill="1" applyAlignment="1">
      <alignment horizontal="center"/>
    </xf>
    <xf numFmtId="0" fontId="5" fillId="2" borderId="0" xfId="0" applyFont="1" applyFill="1" applyAlignment="1">
      <alignment horizontal="center"/>
    </xf>
    <xf numFmtId="0" fontId="4" fillId="4"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428750" cy="742950"/>
    <xdr:pic>
      <xdr:nvPicPr>
        <xdr:cNvPr id="2" name="bea22392-ae11-483a-8adf-fb1a8585869f">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F6B"/>
  </sheetPr>
  <dimension ref="A1:H40"/>
  <sheetViews>
    <sheetView showGridLines="0" topLeftCell="A25" workbookViewId="0">
      <selection activeCell="D41" sqref="D41"/>
    </sheetView>
  </sheetViews>
  <sheetFormatPr defaultRowHeight="13.8"/>
  <cols>
    <col min="1" max="1" width="16" customWidth="1"/>
    <col min="2" max="2" width="10" customWidth="1"/>
    <col min="3" max="3" width="16" customWidth="1"/>
    <col min="4" max="4" width="18" customWidth="1"/>
    <col min="5" max="5" width="17" customWidth="1"/>
    <col min="6" max="6" width="10" customWidth="1"/>
    <col min="7" max="8" width="18" customWidth="1"/>
  </cols>
  <sheetData>
    <row r="1" spans="1:8" ht="30" customHeight="1">
      <c r="A1" s="15"/>
      <c r="B1" s="15"/>
      <c r="C1" s="23" t="s">
        <v>0</v>
      </c>
      <c r="D1" s="24"/>
      <c r="E1" s="24"/>
      <c r="F1" s="24"/>
      <c r="G1" s="24"/>
      <c r="H1" s="24"/>
    </row>
    <row r="2" spans="1:8" ht="24" customHeight="1">
      <c r="A2" s="15"/>
      <c r="B2" s="15"/>
      <c r="C2" s="25" t="s">
        <v>1</v>
      </c>
      <c r="D2" s="24"/>
      <c r="E2" s="24"/>
      <c r="F2" s="24"/>
      <c r="G2" s="24"/>
      <c r="H2" s="24"/>
    </row>
    <row r="3" spans="1:8" ht="19.95" customHeight="1">
      <c r="A3" s="15"/>
      <c r="B3" s="15"/>
      <c r="C3" s="26" t="s">
        <v>2</v>
      </c>
      <c r="D3" s="24"/>
      <c r="E3" s="24"/>
      <c r="F3" s="24"/>
      <c r="G3" s="24"/>
      <c r="H3" s="24"/>
    </row>
    <row r="4" spans="1:8">
      <c r="A4" s="1"/>
      <c r="B4" s="1"/>
      <c r="C4" s="1"/>
      <c r="D4" s="1"/>
      <c r="E4" s="1"/>
      <c r="F4" s="1"/>
      <c r="G4" s="1"/>
      <c r="H4" s="1"/>
    </row>
    <row r="5" spans="1:8">
      <c r="A5" s="16" t="s">
        <v>3</v>
      </c>
      <c r="B5" s="17">
        <v>1</v>
      </c>
      <c r="C5" s="1"/>
      <c r="D5" s="1"/>
      <c r="E5" s="1"/>
      <c r="F5" s="1"/>
      <c r="G5" s="1"/>
      <c r="H5" s="1"/>
    </row>
    <row r="6" spans="1:8">
      <c r="A6" s="1"/>
      <c r="B6" s="1"/>
      <c r="C6" s="1"/>
      <c r="D6" s="1"/>
      <c r="E6" s="1"/>
      <c r="F6" s="1"/>
      <c r="G6" s="1"/>
      <c r="H6" s="1"/>
    </row>
    <row r="7" spans="1:8" ht="22.05" customHeight="1">
      <c r="A7" s="27" t="s">
        <v>4</v>
      </c>
      <c r="B7" s="27"/>
      <c r="C7" s="28" t="e">
        <f>INDEX(#REF!,MATCH($B$5,#REF!,0))</f>
        <v>#REF!</v>
      </c>
      <c r="D7" s="28"/>
      <c r="E7" s="27" t="s">
        <v>5</v>
      </c>
      <c r="F7" s="27"/>
      <c r="G7" s="30" t="e">
        <f>#REF!</f>
        <v>#REF!</v>
      </c>
      <c r="H7" s="28"/>
    </row>
    <row r="8" spans="1:8" ht="22.05" customHeight="1">
      <c r="A8" s="27" t="s">
        <v>6</v>
      </c>
      <c r="B8" s="27"/>
      <c r="C8" s="28" t="e">
        <f>INDEX(#REF!,MATCH($B$5,#REF!,0))</f>
        <v>#REF!</v>
      </c>
      <c r="D8" s="28"/>
      <c r="E8" s="27" t="s">
        <v>7</v>
      </c>
      <c r="F8" s="27"/>
      <c r="G8" s="30" t="e">
        <f>#REF!</f>
        <v>#REF!</v>
      </c>
      <c r="H8" s="28"/>
    </row>
    <row r="9" spans="1:8" ht="22.05" customHeight="1">
      <c r="A9" s="27" t="s">
        <v>8</v>
      </c>
      <c r="B9" s="27"/>
      <c r="C9" s="28" t="e">
        <f>INDEX(#REF!,MATCH($B$5,#REF!,0))</f>
        <v>#REF!</v>
      </c>
      <c r="D9" s="28"/>
      <c r="E9" s="27" t="s">
        <v>9</v>
      </c>
      <c r="F9" s="27"/>
      <c r="G9" s="30" t="e">
        <f>#REF!</f>
        <v>#REF!</v>
      </c>
      <c r="H9" s="28"/>
    </row>
    <row r="10" spans="1:8" ht="22.05" customHeight="1">
      <c r="A10" s="27" t="s">
        <v>10</v>
      </c>
      <c r="B10" s="27"/>
      <c r="C10" s="29" t="e">
        <f>#REF!</f>
        <v>#REF!</v>
      </c>
      <c r="D10" s="28"/>
      <c r="E10" s="27" t="s">
        <v>11</v>
      </c>
      <c r="F10" s="27"/>
      <c r="G10" s="30" t="e">
        <f>#REF!</f>
        <v>#REF!</v>
      </c>
      <c r="H10" s="28"/>
    </row>
    <row r="11" spans="1:8" ht="22.05" customHeight="1">
      <c r="A11" s="27" t="s">
        <v>12</v>
      </c>
      <c r="B11" s="27"/>
      <c r="C11" s="28" t="e">
        <f>IF(INDEX(#REF!,MATCH($B$5,#REF!,0))&gt;=Ketentuan!$B$5,"TERCAPAI - INSENTIF PENUH","BELUM MENCAPAI 90%")</f>
        <v>#REF!</v>
      </c>
      <c r="D11" s="28"/>
      <c r="E11" s="27" t="s">
        <v>13</v>
      </c>
      <c r="F11" s="27"/>
      <c r="G11" s="30" t="e">
        <f>#REF!</f>
        <v>#REF!</v>
      </c>
      <c r="H11" s="28"/>
    </row>
    <row r="12" spans="1:8">
      <c r="A12" s="1"/>
      <c r="B12" s="1"/>
      <c r="C12" s="1"/>
      <c r="D12" s="1"/>
      <c r="E12" s="1"/>
      <c r="F12" s="1"/>
      <c r="G12" s="1"/>
      <c r="H12" s="1"/>
    </row>
    <row r="13" spans="1:8" ht="22.05" customHeight="1">
      <c r="A13" s="31" t="s">
        <v>14</v>
      </c>
      <c r="B13" s="31"/>
      <c r="C13" s="31"/>
      <c r="D13" s="31"/>
      <c r="E13" s="31" t="s">
        <v>15</v>
      </c>
      <c r="F13" s="31"/>
      <c r="G13" s="31"/>
      <c r="H13" s="31"/>
    </row>
    <row r="14" spans="1:8" ht="22.05" customHeight="1">
      <c r="A14" s="18" t="s">
        <v>16</v>
      </c>
      <c r="B14" s="18"/>
      <c r="C14" s="18"/>
      <c r="D14" s="19" t="e">
        <f>INDEX(#REF!,MATCH($B$5,#REF!,0))</f>
        <v>#REF!</v>
      </c>
      <c r="E14" s="18" t="s">
        <v>17</v>
      </c>
      <c r="F14" s="18"/>
      <c r="G14" s="18"/>
      <c r="H14" s="19" t="e">
        <f>INDEX(#REF!,MATCH($B$5,#REF!,0))</f>
        <v>#REF!</v>
      </c>
    </row>
    <row r="15" spans="1:8" ht="22.05" customHeight="1">
      <c r="A15" s="18" t="s">
        <v>18</v>
      </c>
      <c r="B15" s="18"/>
      <c r="C15" s="18"/>
      <c r="D15" s="19" t="e">
        <f>INDEX(#REF!,MATCH($B$5,#REF!,0))</f>
        <v>#REF!</v>
      </c>
      <c r="E15" s="18" t="s">
        <v>19</v>
      </c>
      <c r="F15" s="18"/>
      <c r="G15" s="18"/>
      <c r="H15" s="19" t="e">
        <f>INDEX(#REF!,MATCH($B$5,#REF!,0))</f>
        <v>#REF!</v>
      </c>
    </row>
    <row r="16" spans="1:8" ht="22.05" customHeight="1">
      <c r="A16" s="18" t="s">
        <v>20</v>
      </c>
      <c r="B16" s="18"/>
      <c r="C16" s="18"/>
      <c r="D16" s="19" t="e">
        <f>INDEX(#REF!,MATCH($B$5,#REF!,0))</f>
        <v>#REF!</v>
      </c>
      <c r="E16" s="18" t="s">
        <v>21</v>
      </c>
      <c r="F16" s="18"/>
      <c r="G16" s="18"/>
      <c r="H16" s="19" t="e">
        <f>INDEX(#REF!,MATCH($B$5,#REF!,0))</f>
        <v>#REF!</v>
      </c>
    </row>
    <row r="17" spans="1:8" ht="22.05" customHeight="1">
      <c r="A17" s="18" t="s">
        <v>22</v>
      </c>
      <c r="B17" s="18"/>
      <c r="C17" s="18"/>
      <c r="D17" s="19" t="e">
        <f>INDEX(#REF!,MATCH($B$5,#REF!,0))</f>
        <v>#REF!</v>
      </c>
      <c r="E17" s="18" t="s">
        <v>23</v>
      </c>
      <c r="F17" s="18"/>
      <c r="G17" s="18"/>
      <c r="H17" s="19" t="e">
        <f>INDEX(#REF!,MATCH($B$5,#REF!,0))</f>
        <v>#REF!</v>
      </c>
    </row>
    <row r="18" spans="1:8" ht="22.05" customHeight="1">
      <c r="A18" s="20" t="s">
        <v>24</v>
      </c>
      <c r="B18" s="20"/>
      <c r="C18" s="20"/>
      <c r="D18" s="21" t="e">
        <f>INDEX(#REF!,MATCH($B$5,#REF!,0))</f>
        <v>#REF!</v>
      </c>
      <c r="E18" s="18" t="s">
        <v>25</v>
      </c>
      <c r="F18" s="18"/>
      <c r="G18" s="18"/>
      <c r="H18" s="19" t="e">
        <f>INDEX(#REF!,MATCH($B$5,#REF!,0))</f>
        <v>#REF!</v>
      </c>
    </row>
    <row r="19" spans="1:8" ht="22.05" customHeight="1">
      <c r="A19" s="20" t="s">
        <v>26</v>
      </c>
      <c r="B19" s="20"/>
      <c r="C19" s="20"/>
      <c r="D19" s="21" t="e">
        <f>INDEX(#REF!,MATCH($B$5,#REF!,0))+INDEX(#REF!,MATCH($B$5,#REF!,0))</f>
        <v>#REF!</v>
      </c>
      <c r="E19" s="20" t="s">
        <v>27</v>
      </c>
      <c r="F19" s="20"/>
      <c r="G19" s="20"/>
      <c r="H19" s="21" t="e">
        <f>INDEX(#REF!,MATCH($B$5,#REF!,0))</f>
        <v>#REF!</v>
      </c>
    </row>
    <row r="20" spans="1:8" ht="22.05" customHeight="1">
      <c r="A20" s="1"/>
      <c r="B20" s="1"/>
      <c r="C20" s="1"/>
      <c r="D20" s="1"/>
      <c r="E20" s="1"/>
      <c r="F20" s="1"/>
      <c r="G20" s="1"/>
      <c r="H20" s="1"/>
    </row>
    <row r="21" spans="1:8" ht="22.05" customHeight="1">
      <c r="A21" s="32" t="s">
        <v>28</v>
      </c>
      <c r="B21" s="32"/>
      <c r="C21" s="32"/>
      <c r="D21" s="32"/>
      <c r="E21" s="32"/>
      <c r="F21" s="32"/>
      <c r="G21" s="33" t="e">
        <f>INDEX(#REF!,MATCH($B$5,#REF!,0))</f>
        <v>#REF!</v>
      </c>
      <c r="H21" s="33"/>
    </row>
    <row r="22" spans="1:8" ht="22.05" customHeight="1">
      <c r="A22" s="32"/>
      <c r="B22" s="32"/>
      <c r="C22" s="32"/>
      <c r="D22" s="32"/>
      <c r="E22" s="32"/>
      <c r="F22" s="32"/>
      <c r="G22" s="33"/>
      <c r="H22" s="33"/>
    </row>
    <row r="23" spans="1:8" ht="22.05" customHeight="1">
      <c r="A23" s="1"/>
      <c r="B23" s="1"/>
      <c r="C23" s="1"/>
      <c r="D23" s="1"/>
      <c r="E23" s="1"/>
      <c r="F23" s="1"/>
      <c r="G23" s="1"/>
      <c r="H23" s="1"/>
    </row>
    <row r="24" spans="1:8" ht="22.05" customHeight="1">
      <c r="A24" s="34" t="s">
        <v>29</v>
      </c>
      <c r="B24" s="34"/>
      <c r="C24" s="34"/>
      <c r="D24" s="34"/>
      <c r="E24" s="34"/>
      <c r="F24" s="34"/>
      <c r="G24" s="34"/>
      <c r="H24" s="34"/>
    </row>
    <row r="25" spans="1:8" ht="22.05" customHeight="1">
      <c r="A25" s="18" t="s">
        <v>30</v>
      </c>
      <c r="B25" s="18"/>
      <c r="C25" s="18"/>
      <c r="D25" s="19" t="e">
        <f>INDEX(#REF!,MATCH($B$5,#REF!,0))*Ketentuan!$B$9</f>
        <v>#REF!</v>
      </c>
      <c r="E25" s="1"/>
      <c r="F25" s="1"/>
      <c r="G25" s="1"/>
      <c r="H25" s="1"/>
    </row>
    <row r="26" spans="1:8" ht="22.05" customHeight="1">
      <c r="A26" s="18" t="s">
        <v>31</v>
      </c>
      <c r="B26" s="18"/>
      <c r="C26" s="18"/>
      <c r="D26" s="19" t="e">
        <f>INDEX(#REF!,MATCH($B$5,#REF!,0))*Ketentuan!$B$10</f>
        <v>#REF!</v>
      </c>
      <c r="E26" s="1"/>
      <c r="F26" s="1"/>
      <c r="G26" s="1"/>
      <c r="H26" s="1"/>
    </row>
    <row r="27" spans="1:8" ht="22.05" customHeight="1">
      <c r="A27" s="18" t="s">
        <v>32</v>
      </c>
      <c r="B27" s="18"/>
      <c r="C27" s="18"/>
      <c r="D27" s="19" t="e">
        <f>INDEX(#REF!,MATCH($B$5,#REF!,0))*Ketentuan!$B$11</f>
        <v>#REF!</v>
      </c>
      <c r="E27" s="1"/>
      <c r="F27" s="1"/>
      <c r="G27" s="1"/>
      <c r="H27" s="1"/>
    </row>
    <row r="28" spans="1:8" ht="22.05" customHeight="1">
      <c r="A28" s="18" t="s">
        <v>33</v>
      </c>
      <c r="B28" s="18"/>
      <c r="C28" s="18"/>
      <c r="D28" s="19" t="e">
        <f>IF(OR(INDEX(#REF!,MATCH($B$5,#REF!,0))="CEO",INDEX(#REF!,MATCH($B$5,#REF!,0))="COO"),INDEX(#REF!,MATCH($B$5,#REF!,0))*Ketentuan!$B$12,0)</f>
        <v>#REF!</v>
      </c>
      <c r="E28" s="1"/>
      <c r="F28" s="1"/>
      <c r="G28" s="1"/>
      <c r="H28" s="1"/>
    </row>
    <row r="29" spans="1:8" ht="22.05" customHeight="1">
      <c r="A29" s="18" t="s">
        <v>34</v>
      </c>
      <c r="B29" s="18"/>
      <c r="C29" s="18"/>
      <c r="D29" s="19">
        <v>0</v>
      </c>
      <c r="E29" s="1"/>
      <c r="F29" s="1"/>
      <c r="G29" s="1"/>
      <c r="H29" s="1"/>
    </row>
    <row r="30" spans="1:8" ht="22.05" customHeight="1">
      <c r="A30" s="18" t="s">
        <v>35</v>
      </c>
      <c r="B30" s="18"/>
      <c r="C30" s="18"/>
      <c r="D30" s="19" t="e">
        <f>INDEX(#REF!,MATCH($B$5,#REF!,0))</f>
        <v>#REF!</v>
      </c>
      <c r="E30" s="1"/>
      <c r="F30" s="1"/>
      <c r="G30" s="1"/>
      <c r="H30" s="1"/>
    </row>
    <row r="31" spans="1:8" ht="22.05" customHeight="1">
      <c r="A31" s="20" t="s">
        <v>36</v>
      </c>
      <c r="B31" s="20"/>
      <c r="C31" s="20"/>
      <c r="D31" s="21" t="e">
        <f>INDEX(#REF!,MATCH($B$5,#REF!,0))</f>
        <v>#REF!</v>
      </c>
      <c r="E31" s="1"/>
      <c r="F31" s="1"/>
      <c r="G31" s="1"/>
      <c r="H31" s="1"/>
    </row>
    <row r="32" spans="1:8">
      <c r="A32" s="1"/>
      <c r="B32" s="1"/>
      <c r="C32" s="1"/>
      <c r="D32" s="1"/>
      <c r="E32" s="1"/>
      <c r="F32" s="1"/>
      <c r="G32" s="1"/>
      <c r="H32" s="1"/>
    </row>
    <row r="33" spans="1:8" ht="24" customHeight="1">
      <c r="A33" s="35" t="s">
        <v>37</v>
      </c>
      <c r="B33" s="35"/>
      <c r="C33" s="35"/>
      <c r="D33" s="35"/>
      <c r="E33" s="35"/>
      <c r="F33" s="35"/>
      <c r="G33" s="35"/>
      <c r="H33" s="35"/>
    </row>
    <row r="34" spans="1:8" ht="24" customHeight="1">
      <c r="A34" s="35"/>
      <c r="B34" s="35"/>
      <c r="C34" s="35"/>
      <c r="D34" s="35"/>
      <c r="E34" s="35"/>
      <c r="F34" s="35"/>
      <c r="G34" s="35"/>
      <c r="H34" s="35"/>
    </row>
    <row r="35" spans="1:8" ht="24" customHeight="1">
      <c r="A35" s="35"/>
      <c r="B35" s="35"/>
      <c r="C35" s="35"/>
      <c r="D35" s="35"/>
      <c r="E35" s="35"/>
      <c r="F35" s="35"/>
      <c r="G35" s="35"/>
      <c r="H35" s="35"/>
    </row>
    <row r="36" spans="1:8">
      <c r="A36" s="1"/>
      <c r="B36" s="1"/>
      <c r="C36" s="1"/>
      <c r="D36" s="1"/>
      <c r="E36" s="1"/>
      <c r="F36" s="1"/>
      <c r="G36" s="1"/>
      <c r="H36" s="1"/>
    </row>
    <row r="37" spans="1:8" ht="24" customHeight="1">
      <c r="A37" s="36" t="s">
        <v>38</v>
      </c>
      <c r="B37" s="36"/>
      <c r="C37" s="36"/>
      <c r="D37" s="9"/>
      <c r="E37" s="9"/>
      <c r="F37" s="36" t="s">
        <v>39</v>
      </c>
      <c r="G37" s="36"/>
      <c r="H37" s="36"/>
    </row>
    <row r="38" spans="1:8" ht="24" customHeight="1">
      <c r="A38" s="22"/>
      <c r="B38" s="22"/>
      <c r="C38" s="22"/>
      <c r="D38" s="9"/>
      <c r="E38" s="9"/>
      <c r="F38" s="22"/>
      <c r="G38" s="22"/>
      <c r="H38" s="22"/>
    </row>
    <row r="39" spans="1:8" ht="24" customHeight="1">
      <c r="A39" s="22"/>
      <c r="B39" s="22"/>
      <c r="C39" s="22"/>
      <c r="D39" s="9"/>
      <c r="E39" s="9"/>
      <c r="F39" s="22"/>
      <c r="G39" s="22"/>
      <c r="H39" s="22"/>
    </row>
    <row r="40" spans="1:8" ht="24" customHeight="1">
      <c r="A40" s="36" t="s">
        <v>40</v>
      </c>
      <c r="B40" s="36"/>
      <c r="C40" s="36"/>
      <c r="D40" s="9"/>
      <c r="E40" s="9"/>
      <c r="F40" s="36" t="s">
        <v>40</v>
      </c>
      <c r="G40" s="36"/>
      <c r="H40" s="36"/>
    </row>
  </sheetData>
  <mergeCells count="33">
    <mergeCell ref="A33:H35"/>
    <mergeCell ref="A37:C37"/>
    <mergeCell ref="F37:H37"/>
    <mergeCell ref="A40:C40"/>
    <mergeCell ref="F40:H40"/>
    <mergeCell ref="A13:D13"/>
    <mergeCell ref="E13:H13"/>
    <mergeCell ref="A21:F22"/>
    <mergeCell ref="G21:H22"/>
    <mergeCell ref="A24:H24"/>
    <mergeCell ref="A11:B11"/>
    <mergeCell ref="C11:D11"/>
    <mergeCell ref="E7:F7"/>
    <mergeCell ref="G7:H7"/>
    <mergeCell ref="E8:F8"/>
    <mergeCell ref="G8:H8"/>
    <mergeCell ref="E9:F9"/>
    <mergeCell ref="G9:H9"/>
    <mergeCell ref="E10:F10"/>
    <mergeCell ref="G10:H10"/>
    <mergeCell ref="E11:F11"/>
    <mergeCell ref="G11:H11"/>
    <mergeCell ref="A8:B8"/>
    <mergeCell ref="C8:D8"/>
    <mergeCell ref="A9:B9"/>
    <mergeCell ref="C9:D9"/>
    <mergeCell ref="A10:B10"/>
    <mergeCell ref="C10:D10"/>
    <mergeCell ref="C1:H1"/>
    <mergeCell ref="C2:H2"/>
    <mergeCell ref="C3:H3"/>
    <mergeCell ref="A7:B7"/>
    <mergeCell ref="C7:D7"/>
  </mergeCells>
  <dataValidations count="1">
    <dataValidation type="list" sqref="B5" xr:uid="{00000000-0002-0000-0000-000000000000}">
      <formula1>"1,2,3,4,5,6,7,8,9,10,11,12,13,14"</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A9DB"/>
  </sheetPr>
  <dimension ref="A1:D23"/>
  <sheetViews>
    <sheetView showGridLines="0" tabSelected="1" workbookViewId="0">
      <pane ySplit="4" topLeftCell="A8" activePane="bottomLeft" state="frozen"/>
      <selection pane="bottomLeft" sqref="A1:D1"/>
    </sheetView>
  </sheetViews>
  <sheetFormatPr defaultRowHeight="13.8"/>
  <cols>
    <col min="1" max="1" width="29" customWidth="1"/>
    <col min="2" max="2" width="19" customWidth="1"/>
    <col min="3" max="3" width="28" customWidth="1"/>
    <col min="4" max="4" width="60" customWidth="1"/>
  </cols>
  <sheetData>
    <row r="1" spans="1:4" ht="19.2">
      <c r="A1" s="37" t="s">
        <v>41</v>
      </c>
      <c r="B1" s="38"/>
      <c r="C1" s="38"/>
      <c r="D1" s="38"/>
    </row>
    <row r="2" spans="1:4">
      <c r="A2" s="38" t="s">
        <v>42</v>
      </c>
      <c r="B2" s="38"/>
      <c r="C2" s="38"/>
      <c r="D2" s="38"/>
    </row>
    <row r="3" spans="1:4">
      <c r="A3" s="1"/>
      <c r="B3" s="1"/>
      <c r="C3" s="1"/>
      <c r="D3" s="1"/>
    </row>
    <row r="4" spans="1:4" ht="28.05" customHeight="1">
      <c r="A4" s="2" t="s">
        <v>43</v>
      </c>
      <c r="B4" s="2" t="s">
        <v>44</v>
      </c>
      <c r="C4" s="2" t="s">
        <v>45</v>
      </c>
      <c r="D4" s="2" t="s">
        <v>46</v>
      </c>
    </row>
    <row r="5" spans="1:4">
      <c r="A5" s="3" t="s">
        <v>47</v>
      </c>
      <c r="B5" s="4">
        <v>0.9</v>
      </c>
      <c r="C5" s="10" t="s">
        <v>18</v>
      </c>
      <c r="D5" s="10" t="s">
        <v>48</v>
      </c>
    </row>
    <row r="6" spans="1:4">
      <c r="A6" s="5" t="s">
        <v>17</v>
      </c>
      <c r="B6" s="6">
        <v>0.02</v>
      </c>
      <c r="C6" s="11" t="s">
        <v>49</v>
      </c>
      <c r="D6" s="11" t="s">
        <v>50</v>
      </c>
    </row>
    <row r="7" spans="1:4">
      <c r="A7" s="5" t="s">
        <v>51</v>
      </c>
      <c r="B7" s="6">
        <v>0.01</v>
      </c>
      <c r="C7" s="11" t="s">
        <v>52</v>
      </c>
      <c r="D7" s="11" t="s">
        <v>53</v>
      </c>
    </row>
    <row r="8" spans="1:4">
      <c r="A8" s="5" t="s">
        <v>21</v>
      </c>
      <c r="B8" s="6">
        <v>0.01</v>
      </c>
      <c r="C8" s="11" t="s">
        <v>49</v>
      </c>
      <c r="D8" s="11" t="s">
        <v>54</v>
      </c>
    </row>
    <row r="9" spans="1:4">
      <c r="A9" s="5" t="s">
        <v>30</v>
      </c>
      <c r="B9" s="6">
        <v>3.6999999999999998E-2</v>
      </c>
      <c r="C9" s="11" t="s">
        <v>55</v>
      </c>
      <c r="D9" s="11" t="s">
        <v>50</v>
      </c>
    </row>
    <row r="10" spans="1:4">
      <c r="A10" s="5" t="s">
        <v>31</v>
      </c>
      <c r="B10" s="6">
        <v>2.3999999999999998E-3</v>
      </c>
      <c r="C10" s="11" t="s">
        <v>55</v>
      </c>
      <c r="D10" s="11" t="s">
        <v>56</v>
      </c>
    </row>
    <row r="11" spans="1:4">
      <c r="A11" s="5" t="s">
        <v>32</v>
      </c>
      <c r="B11" s="6">
        <v>3.0000000000000001E-3</v>
      </c>
      <c r="C11" s="11" t="s">
        <v>55</v>
      </c>
      <c r="D11" s="11" t="s">
        <v>50</v>
      </c>
    </row>
    <row r="12" spans="1:4">
      <c r="A12" s="5" t="s">
        <v>57</v>
      </c>
      <c r="B12" s="6">
        <v>0.02</v>
      </c>
      <c r="C12" s="11" t="s">
        <v>58</v>
      </c>
      <c r="D12" s="11" t="s">
        <v>53</v>
      </c>
    </row>
    <row r="13" spans="1:4">
      <c r="A13" s="5" t="s">
        <v>34</v>
      </c>
      <c r="B13" s="6">
        <v>0</v>
      </c>
      <c r="C13" s="11" t="s">
        <v>59</v>
      </c>
      <c r="D13" s="11" t="s">
        <v>60</v>
      </c>
    </row>
    <row r="14" spans="1:4">
      <c r="A14" s="5" t="s">
        <v>35</v>
      </c>
      <c r="B14" s="6">
        <v>0.04</v>
      </c>
      <c r="C14" s="11" t="s">
        <v>55</v>
      </c>
      <c r="D14" s="11" t="s">
        <v>54</v>
      </c>
    </row>
    <row r="15" spans="1:4" ht="26.4">
      <c r="A15" s="7" t="s">
        <v>61</v>
      </c>
      <c r="B15" s="8">
        <v>4090568</v>
      </c>
      <c r="C15" s="12" t="s">
        <v>62</v>
      </c>
      <c r="D15" s="12" t="s">
        <v>63</v>
      </c>
    </row>
    <row r="16" spans="1:4">
      <c r="A16" s="9"/>
      <c r="B16" s="9"/>
      <c r="C16" s="13"/>
      <c r="D16" s="13"/>
    </row>
    <row r="17" spans="1:4" ht="28.05" customHeight="1">
      <c r="A17" s="2" t="s">
        <v>64</v>
      </c>
      <c r="B17" s="2" t="s">
        <v>65</v>
      </c>
      <c r="C17" s="14" t="s">
        <v>66</v>
      </c>
      <c r="D17" s="14" t="s">
        <v>67</v>
      </c>
    </row>
    <row r="18" spans="1:4" ht="31.95" customHeight="1">
      <c r="A18" s="3" t="s">
        <v>16</v>
      </c>
      <c r="B18" s="3" t="s">
        <v>68</v>
      </c>
      <c r="C18" s="10" t="s">
        <v>69</v>
      </c>
      <c r="D18" s="10" t="s">
        <v>70</v>
      </c>
    </row>
    <row r="19" spans="1:4" ht="31.95" customHeight="1">
      <c r="A19" s="5" t="s">
        <v>18</v>
      </c>
      <c r="B19" s="5" t="s">
        <v>71</v>
      </c>
      <c r="C19" s="11" t="s">
        <v>72</v>
      </c>
      <c r="D19" s="11" t="s">
        <v>73</v>
      </c>
    </row>
    <row r="20" spans="1:4" ht="31.95" customHeight="1">
      <c r="A20" s="5" t="s">
        <v>74</v>
      </c>
      <c r="B20" s="5" t="s">
        <v>75</v>
      </c>
      <c r="C20" s="11" t="s">
        <v>76</v>
      </c>
      <c r="D20" s="11" t="s">
        <v>77</v>
      </c>
    </row>
    <row r="21" spans="1:4" ht="31.95" customHeight="1">
      <c r="A21" s="7" t="s">
        <v>78</v>
      </c>
      <c r="B21" s="7" t="s">
        <v>79</v>
      </c>
      <c r="C21" s="12" t="s">
        <v>80</v>
      </c>
      <c r="D21" s="12" t="s">
        <v>81</v>
      </c>
    </row>
    <row r="22" spans="1:4">
      <c r="A22" s="9"/>
      <c r="B22" s="9"/>
      <c r="C22" s="13"/>
      <c r="D22" s="13"/>
    </row>
    <row r="23" spans="1:4" ht="30" customHeight="1">
      <c r="A23" s="39" t="s">
        <v>82</v>
      </c>
      <c r="B23" s="39"/>
      <c r="C23" s="35"/>
      <c r="D23" s="35"/>
    </row>
  </sheetData>
  <mergeCells count="3">
    <mergeCell ref="A1:D1"/>
    <mergeCell ref="A2:D2"/>
    <mergeCell ref="A23:D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Slip Gaji</vt:lpstr>
      <vt:lpstr>Ketentuan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2026-09-28T05:24:10Z</dcterms:created>
  <dcterms:modified xsi:type="dcterms:W3CDTF">2026-09-28T05:25:06Z</dcterms:modified>
</cp:coreProperties>
</file>